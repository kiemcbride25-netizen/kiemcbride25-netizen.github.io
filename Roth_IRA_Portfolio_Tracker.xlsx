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Holdings" sheetId="2" state="visible" r:id="rId4"/>
    <sheet name="Investment Thes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<sst xmlns="http://schemas.openxmlformats.org/spreadsheetml/2006/main" count="104" uniqueCount="70">
  <si>
    <t xml:space="preserve">ROTH IRA PORTFOLIO TRACKER</t>
  </si>
  <si>
    <t xml:space="preserve">Wealth Management Recruiting — Investment Portfolio</t>
  </si>
  <si>
    <t xml:space="preserve">Total Invested ($)</t>
  </si>
  <si>
    <t xml:space="preserve">Current Value ($)</t>
  </si>
  <si>
    <t xml:space="preserve">Total Return ($)</t>
  </si>
  <si>
    <t xml:space="preserve">Total Return (%)</t>
  </si>
  <si>
    <t xml:space="preserve">TARGET ALLOCATION</t>
  </si>
  <si>
    <t xml:space="preserve">Sleeve</t>
  </si>
  <si>
    <t xml:space="preserve">Target %</t>
  </si>
  <si>
    <t xml:space="preserve">Target $</t>
  </si>
  <si>
    <t xml:space="preserve">Actual $</t>
  </si>
  <si>
    <t xml:space="preserve">Actual %</t>
  </si>
  <si>
    <t xml:space="preserve">Δ vs Target</t>
  </si>
  <si>
    <t xml:space="preserve">Core (ETFs)</t>
  </si>
  <si>
    <t xml:space="preserve">Satellite (Stocks)</t>
  </si>
  <si>
    <t xml:space="preserve">TOTAL</t>
  </si>
  <si>
    <t xml:space="preserve">WM INTERVIEW TALKING POINTS</t>
  </si>
  <si>
    <t xml:space="preserve">My investment philosophy:</t>
  </si>
  <si>
    <t xml:space="preserve">Long-term, diversified core with selective satellite positions where I have high conviction.</t>
  </si>
  <si>
    <t xml:space="preserve">Why a Roth IRA?</t>
  </si>
  <si>
    <t xml:space="preserve">Tax-free compounding — maximize after-tax returns over a 40+ year horizon while I'm in a low tax bracket.</t>
  </si>
  <si>
    <t xml:space="preserve">Core rationale:</t>
  </si>
  <si>
    <t xml:space="preserve">Broad market exposure via low-cost ETF captures equity risk premium; minimizes timing/selection risk.</t>
  </si>
  <si>
    <t xml:space="preserve">Satellite rationale:</t>
  </si>
  <si>
    <t xml:space="preserve">2-3 high-conviction names with documented thesis; forces rigorous analysis and accountability.</t>
  </si>
  <si>
    <t xml:space="preserve">Risk management:</t>
  </si>
  <si>
    <t xml:space="preserve">Position sizing (no satellite &gt;20% of portfolio), thesis review quarterly, stop-loss discipline.</t>
  </si>
  <si>
    <t xml:space="preserve">Last Updated:</t>
  </si>
  <si>
    <t xml:space="preserve">HOLDINGS — ROTH IRA</t>
  </si>
  <si>
    <t xml:space="preserve">Ticker</t>
  </si>
  <si>
    <t xml:space="preserve">Name</t>
  </si>
  <si>
    <t xml:space="preserve">Shares</t>
  </si>
  <si>
    <t xml:space="preserve">Entry Price</t>
  </si>
  <si>
    <t xml:space="preserve">Current Price</t>
  </si>
  <si>
    <t xml:space="preserve">Cost Basis ($)</t>
  </si>
  <si>
    <t xml:space="preserve">Mkt Value ($)</t>
  </si>
  <si>
    <t xml:space="preserve">$ Return</t>
  </si>
  <si>
    <t xml:space="preserve">% Return</t>
  </si>
  <si>
    <t xml:space="preserve">% of Portfolio</t>
  </si>
  <si>
    <t xml:space="preserve">Date Added</t>
  </si>
  <si>
    <t xml:space="preserve">VTI</t>
  </si>
  <si>
    <t xml:space="preserve">Vanguard Total Stock Market ETF</t>
  </si>
  <si>
    <t xml:space="preserve">Core</t>
  </si>
  <si>
    <t xml:space="preserve">2026-07-01</t>
  </si>
  <si>
    <t xml:space="preserve">VOO</t>
  </si>
  <si>
    <t xml:space="preserve">Vanguard S&amp;P 500 ETF</t>
  </si>
  <si>
    <t xml:space="preserve">[TICK]</t>
  </si>
  <si>
    <t xml:space="preserve">[Company Name]</t>
  </si>
  <si>
    <t xml:space="preserve">Satellite</t>
  </si>
  <si>
    <t xml:space="preserve">INVESTMENT THESIS — SATELLITE POSITIONS</t>
  </si>
  <si>
    <t xml:space="preserve">Ticker / Name</t>
  </si>
  <si>
    <t xml:space="preserve">[TICKER] — [Company Name]</t>
  </si>
  <si>
    <t xml:space="preserve">Date Initiated</t>
  </si>
  <si>
    <t xml:space="preserve">[YYYY-MM-DD]</t>
  </si>
  <si>
    <t xml:space="preserve">$[XX.XX]</t>
  </si>
  <si>
    <t xml:space="preserve">Position Size</t>
  </si>
  <si>
    <t xml:space="preserve">$[XXX] (~X% of portfolio)</t>
  </si>
  <si>
    <t xml:space="preserve">Thesis (1-2 lines)</t>
  </si>
  <si>
    <t xml:space="preserve">Why I own this. What's the market missing? What's my edge?</t>
  </si>
  <si>
    <t xml:space="preserve">Bull Case</t>
  </si>
  <si>
    <t xml:space="preserve">What has to be true for this to work?</t>
  </si>
  <si>
    <t xml:space="preserve">Bear Case / Risks</t>
  </si>
  <si>
    <t xml:space="preserve">What could go wrong? How do I think about it?</t>
  </si>
  <si>
    <t xml:space="preserve">Catalyst</t>
  </si>
  <si>
    <t xml:space="preserve">What event or data point will prove/disprove the thesis?</t>
  </si>
  <si>
    <t xml:space="preserve">Exit Criteria</t>
  </si>
  <si>
    <t xml:space="preserve">I will sell if: [price target hit / thesis broken / better opportunity]</t>
  </si>
  <si>
    <t xml:space="preserve">Sources</t>
  </si>
  <si>
    <t xml:space="preserve">Earnings call / 10-K / industry research / management commentary</t>
  </si>
  <si>
    <t xml:space="preserve">— POSITION 2 —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</si>
</sst>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;&quot;($&quot;#,##0.00\);\-"/>
    <numFmt numFmtId="166" formatCode="0.0%;\(0.0%\);\-"/>
    <numFmt numFmtId="167" formatCode="0%;\(0%\);\-"/>
    <numFmt numFmtId="168" formatCode="mmmm\ dd&quot;, &quot;yyyy"/>
    <numFmt numFmtId="169" formatCode="@"/>
    <numFmt numFmtId="170" formatCode="0.000"/>
    <numFmt numFmtId="171" formatCode="\$#,##0.00"/>
    <numFmt numFmtId="172" formatCode="yyyy\-mm\-dd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C9A84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8F8F8"/>
      </patternFill>
    </fill>
    <fill>
      <patternFill patternType="solid">
        <fgColor rgb="FF2F5496"/>
        <bgColor rgb="FF1F3864"/>
      </patternFill>
    </fill>
    <fill>
      <patternFill patternType="solid">
        <fgColor rgb="FFFFFFFF"/>
        <bgColor rgb="FFF8F8F8"/>
      </patternFill>
    </fill>
    <fill>
      <patternFill patternType="solid">
        <fgColor rgb="FFD6E4F0"/>
        <bgColor rgb="FFF2F2F2"/>
      </patternFill>
    </fill>
    <fill>
      <patternFill patternType="solid">
        <fgColor rgb="FFF8F8F8"/>
        <bgColor rgb="FFF2F2F2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8F8F8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7" min="3" style="1" width="16"/>
    <col collapsed="false" customWidth="true" hidden="false" outlineLevel="0" max="8" min="8" style="1" width="3"/>
  </cols>
  <sheetData>
    <row r="1" customFormat="false" ht="18" hidden="false" customHeight="true" outlineLevel="0" collapsed="false"/>
    <row r="2" customFormat="false" ht="18" hidden="false" customHeight="true" outlineLevel="0" collapsed="false">
      <c r="B2" s="2" t="s">
        <v>0</v>
      </c>
      <c r="C2" s="2"/>
      <c r="D2" s="2"/>
      <c r="E2" s="2"/>
      <c r="F2" s="2"/>
      <c r="G2" s="2"/>
    </row>
    <row r="3" customFormat="false" ht="18" hidden="false" customHeight="true" outlineLevel="0" collapsed="false">
      <c r="B3" s="3" t="s">
        <v>1</v>
      </c>
      <c r="C3" s="3"/>
      <c r="D3" s="3"/>
      <c r="E3" s="3"/>
      <c r="F3" s="3"/>
      <c r="G3" s="3"/>
    </row>
    <row r="4" customFormat="false" ht="18" hidden="false" customHeight="true" outlineLevel="0" collapsed="false"/>
    <row r="5" customFormat="false" ht="13.5" hidden="false" customHeight="true" outlineLevel="0" collapsed="false">
      <c r="B5" s="4" t="s">
        <v>2</v>
      </c>
      <c r="C5" s="4"/>
      <c r="D5" s="4" t="s">
        <v>3</v>
      </c>
      <c r="E5" s="4"/>
      <c r="F5" s="5" t="s">
        <v>4</v>
      </c>
      <c r="G5" s="5" t="s">
        <v>5</v>
      </c>
    </row>
    <row r="6" customFormat="false" ht="18" hidden="false" customHeight="true" outlineLevel="0" collapsed="false">
      <c r="B6" s="6" t="n">
        <f aca="false">Holdings!I22</f>
        <v>1575</v>
      </c>
      <c r="C6" s="6"/>
      <c r="D6" s="6" t="n">
        <f aca="false">Holdings!J22</f>
        <v>0</v>
      </c>
      <c r="E6" s="6"/>
      <c r="F6" s="7" t="n">
        <f aca="false">Holdings!K22</f>
        <v>0</v>
      </c>
      <c r="G6" s="8" t="n">
        <f aca="false">Holdings!L22</f>
        <v>0</v>
      </c>
    </row>
    <row r="7" customFormat="false" ht="18" hidden="false" customHeight="true" outlineLevel="0" collapsed="false"/>
    <row r="8" customFormat="false" ht="13.5" hidden="false" customHeight="true" outlineLevel="0" collapsed="false">
      <c r="B8" s="9" t="s">
        <v>6</v>
      </c>
      <c r="C8" s="9"/>
      <c r="D8" s="9"/>
      <c r="E8" s="9"/>
      <c r="F8" s="9"/>
      <c r="G8" s="9"/>
    </row>
    <row r="9" customFormat="false" ht="18" hidden="false" customHeight="true" outlineLevel="0" collapsed="false">
      <c r="B9" s="10" t="s">
        <v>7</v>
      </c>
      <c r="C9" s="10" t="s">
        <v>8</v>
      </c>
      <c r="D9" s="10" t="s">
        <v>9</v>
      </c>
      <c r="E9" s="10" t="s">
        <v>10</v>
      </c>
      <c r="F9" s="10" t="s">
        <v>11</v>
      </c>
      <c r="G9" s="10" t="s">
        <v>12</v>
      </c>
    </row>
    <row r="10" customFormat="false" ht="18" hidden="false" customHeight="true" outlineLevel="0" collapsed="false">
      <c r="B10" s="11" t="s">
        <v>13</v>
      </c>
      <c r="C10" s="12" t="n">
        <v>0.6</v>
      </c>
      <c r="D10" s="13" t="n">
        <f aca="false">C10*D6</f>
        <v>0</v>
      </c>
      <c r="E10" s="13" t="n">
        <f aca="false">Holdings!J25</f>
        <v>0</v>
      </c>
      <c r="F10" s="14" t="n">
        <f aca="false">IF(D6=0,0,E10/D6)</f>
        <v>0</v>
      </c>
      <c r="G10" s="13" t="n">
        <f aca="false">E10-C10</f>
        <v>-0.6</v>
      </c>
    </row>
    <row r="11" customFormat="false" ht="18" hidden="false" customHeight="true" outlineLevel="0" collapsed="false">
      <c r="B11" s="11" t="s">
        <v>14</v>
      </c>
      <c r="C11" s="12" t="n">
        <v>0.4</v>
      </c>
      <c r="D11" s="13" t="n">
        <f aca="false">C11*D6</f>
        <v>0</v>
      </c>
      <c r="E11" s="13" t="n">
        <f aca="false">Holdings!J26</f>
        <v>0</v>
      </c>
      <c r="F11" s="14" t="n">
        <f aca="false">IF(D6=0,0,E11/D6)</f>
        <v>0</v>
      </c>
      <c r="G11" s="13" t="n">
        <f aca="false">E11-C11</f>
        <v>-0.4</v>
      </c>
    </row>
    <row r="12" customFormat="false" ht="18" hidden="false" customHeight="true" outlineLevel="0" collapsed="false">
      <c r="B12" s="15" t="s">
        <v>15</v>
      </c>
      <c r="C12" s="16" t="n">
        <v>1</v>
      </c>
      <c r="D12" s="17" t="n">
        <f aca="false">SUM(C10:C11)</f>
        <v>1</v>
      </c>
      <c r="E12" s="17" t="n">
        <f aca="false">SUM(E10:E11)</f>
        <v>0</v>
      </c>
      <c r="F12" s="18" t="n">
        <f aca="false">IF(D6=0,0,SUM(F10:F11))</f>
        <v>0</v>
      </c>
      <c r="G12" s="17"/>
    </row>
    <row r="13" customFormat="false" ht="18" hidden="false" customHeight="true" outlineLevel="0" collapsed="false"/>
    <row r="14" customFormat="false" ht="13.5" hidden="false" customHeight="true" outlineLevel="0" collapsed="false">
      <c r="B14" s="9" t="s">
        <v>16</v>
      </c>
      <c r="C14" s="9"/>
      <c r="D14" s="9"/>
      <c r="E14" s="9"/>
      <c r="F14" s="9"/>
      <c r="G14" s="9"/>
    </row>
    <row r="15" customFormat="false" ht="21.75" hidden="false" customHeight="true" outlineLevel="0" collapsed="false">
      <c r="B15" s="19" t="s">
        <v>17</v>
      </c>
      <c r="C15" s="20" t="s">
        <v>18</v>
      </c>
      <c r="D15" s="20"/>
      <c r="E15" s="20"/>
      <c r="F15" s="20"/>
      <c r="G15" s="20"/>
    </row>
    <row r="16" customFormat="false" ht="21.75" hidden="false" customHeight="true" outlineLevel="0" collapsed="false">
      <c r="B16" s="19" t="s">
        <v>19</v>
      </c>
      <c r="C16" s="20" t="s">
        <v>20</v>
      </c>
      <c r="D16" s="20"/>
      <c r="E16" s="20"/>
      <c r="F16" s="20"/>
      <c r="G16" s="20"/>
    </row>
    <row r="17" customFormat="false" ht="21.75" hidden="false" customHeight="true" outlineLevel="0" collapsed="false">
      <c r="B17" s="19" t="s">
        <v>21</v>
      </c>
      <c r="C17" s="20" t="s">
        <v>22</v>
      </c>
      <c r="D17" s="20"/>
      <c r="E17" s="20"/>
      <c r="F17" s="20"/>
      <c r="G17" s="20"/>
    </row>
    <row r="18" customFormat="false" ht="21.75" hidden="false" customHeight="true" outlineLevel="0" collapsed="false">
      <c r="B18" s="19" t="s">
        <v>23</v>
      </c>
      <c r="C18" s="20" t="s">
        <v>24</v>
      </c>
      <c r="D18" s="20"/>
      <c r="E18" s="20"/>
      <c r="F18" s="20"/>
      <c r="G18" s="20"/>
    </row>
    <row r="19" customFormat="false" ht="21.75" hidden="false" customHeight="true" outlineLevel="0" collapsed="false">
      <c r="B19" s="19" t="s">
        <v>25</v>
      </c>
      <c r="C19" s="20" t="s">
        <v>26</v>
      </c>
      <c r="D19" s="20"/>
      <c r="E19" s="20"/>
      <c r="F19" s="20"/>
      <c r="G19" s="20"/>
    </row>
    <row r="20" customFormat="false" ht="18" hidden="false" customHeight="true" outlineLevel="0" collapsed="false"/>
    <row r="21" customFormat="false" ht="18" hidden="false" customHeight="true" outlineLevel="0" collapsed="false"/>
    <row r="22" customFormat="false" ht="18" hidden="false" customHeight="true" outlineLevel="0" collapsed="false">
      <c r="B22" s="21" t="s">
        <v>27</v>
      </c>
      <c r="C22" s="21"/>
      <c r="D22" s="21"/>
      <c r="E22" s="22" t="n">
        <f aca="true">TODAY()</f>
        <v>46203</v>
      </c>
      <c r="F22" s="22"/>
      <c r="G22" s="22"/>
    </row>
    <row r="23" customFormat="false" ht="18" hidden="false" customHeight="true" outlineLevel="0" collapsed="false"/>
    <row r="24" customFormat="false" ht="18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</sheetData>
  <mergeCells count="15">
    <mergeCell ref="B2:G2"/>
    <mergeCell ref="B3:G3"/>
    <mergeCell ref="B5:C5"/>
    <mergeCell ref="D5:E5"/>
    <mergeCell ref="B6:C6"/>
    <mergeCell ref="D6:E6"/>
    <mergeCell ref="B8:G8"/>
    <mergeCell ref="B14:G14"/>
    <mergeCell ref="C15:G15"/>
    <mergeCell ref="C16:G16"/>
    <mergeCell ref="C17:G17"/>
    <mergeCell ref="C18:G18"/>
    <mergeCell ref="C19:G19"/>
    <mergeCell ref="B22:D22"/>
    <mergeCell ref="E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24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7" min="6" style="1" width="13"/>
    <col collapsed="false" customWidth="true" hidden="false" outlineLevel="0" max="8" min="8" style="1" width="12"/>
    <col collapsed="false" customWidth="true" hidden="false" outlineLevel="0" max="11" min="9" style="1" width="13"/>
    <col collapsed="false" customWidth="true" hidden="false" outlineLevel="0" max="12" min="12" style="1" width="11"/>
    <col collapsed="false" customWidth="true" hidden="false" outlineLevel="0" max="13" min="13" style="1" width="10"/>
    <col collapsed="false" customWidth="true" hidden="false" outlineLevel="0" max="14" min="14" style="1" width="3"/>
  </cols>
  <sheetData>
    <row r="2" customFormat="false" ht="17.25" hidden="false" customHeight="true" outlineLevel="0" collapsed="false">
      <c r="B2" s="23" t="s">
        <v>28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4" customFormat="false" ht="21.75" hidden="false" customHeight="true" outlineLevel="0" collapsed="false">
      <c r="B4" s="10" t="s">
        <v>29</v>
      </c>
      <c r="C4" s="10" t="s">
        <v>30</v>
      </c>
      <c r="D4" s="10" t="s">
        <v>7</v>
      </c>
      <c r="E4" s="10" t="s">
        <v>31</v>
      </c>
      <c r="F4" s="10" t="s">
        <v>32</v>
      </c>
      <c r="G4" s="10" t="s">
        <v>33</v>
      </c>
      <c r="H4" s="10" t="s">
        <v>34</v>
      </c>
      <c r="I4" s="10" t="s">
        <v>35</v>
      </c>
      <c r="J4" s="10" t="s">
        <v>36</v>
      </c>
      <c r="K4" s="10" t="s">
        <v>37</v>
      </c>
      <c r="L4" s="10" t="s">
        <v>38</v>
      </c>
      <c r="M4" s="10" t="s">
        <v>39</v>
      </c>
    </row>
    <row r="5" customFormat="false" ht="15" hidden="false" customHeight="true" outlineLevel="0" collapsed="false">
      <c r="B5" s="24" t="s">
        <v>40</v>
      </c>
      <c r="C5" s="24" t="s">
        <v>41</v>
      </c>
      <c r="D5" s="24" t="s">
        <v>42</v>
      </c>
      <c r="E5" s="25" t="n">
        <v>3.5</v>
      </c>
      <c r="F5" s="26" t="n">
        <v>170</v>
      </c>
      <c r="G5" s="26" t="n">
        <v>170</v>
      </c>
      <c r="H5" s="13" t="n">
        <f aca="false">E5*F5</f>
        <v>595</v>
      </c>
      <c r="I5" s="13" t="n">
        <f aca="false">E5*G5</f>
        <v>595</v>
      </c>
      <c r="J5" s="13" t="n">
        <f aca="false">I5-H5</f>
        <v>0</v>
      </c>
      <c r="K5" s="14" t="n">
        <f aca="false">IF(H5=0,"-",J5/H5)</f>
        <v>0</v>
      </c>
      <c r="L5" s="14" t="n">
        <f aca="false">IF(I$22=0,"-",I5/I$22)</f>
        <v>0.377777777777778</v>
      </c>
      <c r="M5" s="27" t="s">
        <v>43</v>
      </c>
    </row>
    <row r="6" customFormat="false" ht="15" hidden="false" customHeight="true" outlineLevel="0" collapsed="false">
      <c r="B6" s="28" t="s">
        <v>44</v>
      </c>
      <c r="C6" s="28" t="s">
        <v>45</v>
      </c>
      <c r="D6" s="28" t="s">
        <v>42</v>
      </c>
      <c r="E6" s="29" t="n">
        <v>1</v>
      </c>
      <c r="F6" s="30" t="n">
        <v>480</v>
      </c>
      <c r="G6" s="30" t="n">
        <v>480</v>
      </c>
      <c r="H6" s="31" t="n">
        <f aca="false">E6*F6</f>
        <v>480</v>
      </c>
      <c r="I6" s="31" t="n">
        <f aca="false">E6*G6</f>
        <v>480</v>
      </c>
      <c r="J6" s="31" t="n">
        <f aca="false">I6-H6</f>
        <v>0</v>
      </c>
      <c r="K6" s="32" t="n">
        <f aca="false">IF(H6=0,"-",J6/H6)</f>
        <v>0</v>
      </c>
      <c r="L6" s="32" t="n">
        <f aca="false">IF(I$22=0,"-",I6/I$22)</f>
        <v>0.304761904761905</v>
      </c>
      <c r="M6" s="33" t="s">
        <v>43</v>
      </c>
    </row>
    <row r="7" customFormat="false" ht="15" hidden="false" customHeight="true" outlineLevel="0" collapsed="false">
      <c r="B7" s="24" t="s">
        <v>46</v>
      </c>
      <c r="C7" s="24" t="s">
        <v>47</v>
      </c>
      <c r="D7" s="24" t="s">
        <v>48</v>
      </c>
      <c r="E7" s="25" t="n">
        <v>2</v>
      </c>
      <c r="F7" s="26" t="n">
        <v>100</v>
      </c>
      <c r="G7" s="26" t="n">
        <v>100</v>
      </c>
      <c r="H7" s="13" t="n">
        <f aca="false">E7*F7</f>
        <v>200</v>
      </c>
      <c r="I7" s="13" t="n">
        <f aca="false">E7*G7</f>
        <v>200</v>
      </c>
      <c r="J7" s="13" t="n">
        <f aca="false">I7-H7</f>
        <v>0</v>
      </c>
      <c r="K7" s="14" t="n">
        <f aca="false">IF(H7=0,"-",J7/H7)</f>
        <v>0</v>
      </c>
      <c r="L7" s="14" t="n">
        <f aca="false">IF(I$22=0,"-",I7/I$22)</f>
        <v>0.126984126984127</v>
      </c>
      <c r="M7" s="27" t="s">
        <v>43</v>
      </c>
    </row>
    <row r="8" customFormat="false" ht="15" hidden="false" customHeight="true" outlineLevel="0" collapsed="false">
      <c r="B8" s="28" t="s">
        <v>46</v>
      </c>
      <c r="C8" s="28" t="s">
        <v>47</v>
      </c>
      <c r="D8" s="28" t="s">
        <v>48</v>
      </c>
      <c r="E8" s="29" t="n">
        <v>1</v>
      </c>
      <c r="F8" s="30" t="n">
        <v>150</v>
      </c>
      <c r="G8" s="30" t="n">
        <v>150</v>
      </c>
      <c r="H8" s="31" t="n">
        <f aca="false">E8*F8</f>
        <v>150</v>
      </c>
      <c r="I8" s="31" t="n">
        <f aca="false">E8*G8</f>
        <v>150</v>
      </c>
      <c r="J8" s="31" t="n">
        <f aca="false">I8-H8</f>
        <v>0</v>
      </c>
      <c r="K8" s="32" t="n">
        <f aca="false">IF(H8=0,"-",J8/H8)</f>
        <v>0</v>
      </c>
      <c r="L8" s="32" t="n">
        <f aca="false">IF(I$22=0,"-",I8/I$22)</f>
        <v>0.0952380952380952</v>
      </c>
      <c r="M8" s="33" t="s">
        <v>43</v>
      </c>
    </row>
    <row r="9" customFormat="false" ht="15" hidden="false" customHeight="true" outlineLevel="0" collapsed="false">
      <c r="B9" s="24" t="s">
        <v>46</v>
      </c>
      <c r="C9" s="24" t="s">
        <v>47</v>
      </c>
      <c r="D9" s="24" t="s">
        <v>48</v>
      </c>
      <c r="E9" s="25" t="n">
        <v>3</v>
      </c>
      <c r="F9" s="26" t="n">
        <v>50</v>
      </c>
      <c r="G9" s="26" t="n">
        <v>50</v>
      </c>
      <c r="H9" s="13" t="n">
        <f aca="false">E9*F9</f>
        <v>150</v>
      </c>
      <c r="I9" s="13" t="n">
        <f aca="false">E9*G9</f>
        <v>150</v>
      </c>
      <c r="J9" s="13" t="n">
        <f aca="false">I9-H9</f>
        <v>0</v>
      </c>
      <c r="K9" s="14" t="n">
        <f aca="false">IF(H9=0,"-",J9/H9)</f>
        <v>0</v>
      </c>
      <c r="L9" s="14" t="n">
        <f aca="false">IF(I$22=0,"-",I9/I$22)</f>
        <v>0.0952380952380952</v>
      </c>
      <c r="M9" s="27" t="s">
        <v>43</v>
      </c>
    </row>
    <row r="22" customFormat="false" ht="19.5" hidden="false" customHeight="true" outlineLevel="0" collapsed="false">
      <c r="B22" s="34" t="s">
        <v>15</v>
      </c>
      <c r="H22" s="35" t="n">
        <f aca="false">SUM(H5:H21)</f>
        <v>1575</v>
      </c>
      <c r="I22" s="35" t="n">
        <f aca="false">SUM(I5:I21)</f>
        <v>1575</v>
      </c>
      <c r="J22" s="35" t="n">
        <f aca="false">SUM(J5:J21)</f>
        <v>0</v>
      </c>
      <c r="K22" s="36" t="n">
        <f aca="false">IF(H22=0,"-",J22/H22)</f>
        <v>0</v>
      </c>
    </row>
    <row r="25" customFormat="false" ht="15" hidden="false" customHeight="true" outlineLevel="0" collapsed="false">
      <c r="I25" s="37" t="n">
        <f aca="false">SUMIF(D5:D21,"Core",I5:I21)</f>
        <v>1075</v>
      </c>
    </row>
    <row r="26" customFormat="false" ht="15" hidden="false" customHeight="true" outlineLevel="0" collapsed="false">
      <c r="I26" s="37" t="n">
        <f aca="false">SUMIF(D5:D21,"Satellite",I5:I21)</f>
        <v>500</v>
      </c>
    </row>
  </sheetData>
  <mergeCells count="1">
    <mergeCell ref="B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3" min="3" style="1" width="70"/>
    <col collapsed="false" customWidth="true" hidden="false" outlineLevel="0" max="4" min="4" style="1" width="3"/>
  </cols>
  <sheetData>
    <row r="2" customFormat="false" ht="17.25" hidden="false" customHeight="true" outlineLevel="0" collapsed="false">
      <c r="B2" s="23" t="s">
        <v>49</v>
      </c>
      <c r="C2" s="23"/>
    </row>
    <row r="4" customFormat="false" ht="36" hidden="false" customHeight="true" outlineLevel="0" collapsed="false">
      <c r="B4" s="38" t="s">
        <v>50</v>
      </c>
      <c r="C4" s="39" t="s">
        <v>51</v>
      </c>
    </row>
    <row r="5" customFormat="false" ht="36" hidden="false" customHeight="true" outlineLevel="0" collapsed="false">
      <c r="B5" s="38" t="s">
        <v>52</v>
      </c>
      <c r="C5" s="40" t="s">
        <v>53</v>
      </c>
    </row>
    <row r="6" customFormat="false" ht="36" hidden="false" customHeight="true" outlineLevel="0" collapsed="false">
      <c r="B6" s="38" t="s">
        <v>32</v>
      </c>
      <c r="C6" s="40" t="s">
        <v>54</v>
      </c>
    </row>
    <row r="7" customFormat="false" ht="36" hidden="false" customHeight="true" outlineLevel="0" collapsed="false">
      <c r="B7" s="38" t="s">
        <v>55</v>
      </c>
      <c r="C7" s="40" t="s">
        <v>56</v>
      </c>
    </row>
    <row r="8" customFormat="false" ht="36" hidden="false" customHeight="true" outlineLevel="0" collapsed="false">
      <c r="B8" s="38" t="s">
        <v>57</v>
      </c>
      <c r="C8" s="40" t="s">
        <v>58</v>
      </c>
    </row>
    <row r="9" customFormat="false" ht="36" hidden="false" customHeight="true" outlineLevel="0" collapsed="false">
      <c r="B9" s="38" t="s">
        <v>59</v>
      </c>
      <c r="C9" s="39" t="s">
        <v>60</v>
      </c>
    </row>
    <row r="10" customFormat="false" ht="36" hidden="false" customHeight="true" outlineLevel="0" collapsed="false">
      <c r="B10" s="38" t="s">
        <v>61</v>
      </c>
      <c r="C10" s="39" t="s">
        <v>62</v>
      </c>
    </row>
    <row r="11" customFormat="false" ht="36" hidden="false" customHeight="true" outlineLevel="0" collapsed="false">
      <c r="B11" s="38" t="s">
        <v>63</v>
      </c>
      <c r="C11" s="39" t="s">
        <v>64</v>
      </c>
    </row>
    <row r="12" customFormat="false" ht="36" hidden="false" customHeight="true" outlineLevel="0" collapsed="false">
      <c r="B12" s="38" t="s">
        <v>65</v>
      </c>
      <c r="C12" s="40" t="s">
        <v>66</v>
      </c>
    </row>
    <row r="13" customFormat="false" ht="36" hidden="false" customHeight="true" outlineLevel="0" collapsed="false">
      <c r="B13" s="38" t="s">
        <v>67</v>
      </c>
      <c r="C13" s="39" t="s">
        <v>68</v>
      </c>
    </row>
    <row r="15" customFormat="false" ht="15" hidden="false" customHeight="true" outlineLevel="0" collapsed="false">
      <c r="B15" s="41" t="s">
        <v>69</v>
      </c>
      <c r="C15" s="41"/>
    </row>
    <row r="16" customFormat="false" ht="36" hidden="false" customHeight="true" outlineLevel="0" collapsed="false">
      <c r="B16" s="38" t="s">
        <v>50</v>
      </c>
      <c r="C16" s="39" t="s">
        <v>51</v>
      </c>
    </row>
    <row r="17" customFormat="false" ht="36" hidden="false" customHeight="true" outlineLevel="0" collapsed="false">
      <c r="B17" s="38" t="s">
        <v>52</v>
      </c>
      <c r="C17" s="40" t="s">
        <v>53</v>
      </c>
    </row>
    <row r="18" customFormat="false" ht="36" hidden="false" customHeight="true" outlineLevel="0" collapsed="false">
      <c r="B18" s="38" t="s">
        <v>32</v>
      </c>
      <c r="C18" s="40" t="s">
        <v>54</v>
      </c>
    </row>
    <row r="19" customFormat="false" ht="36" hidden="false" customHeight="true" outlineLevel="0" collapsed="false">
      <c r="B19" s="38" t="s">
        <v>55</v>
      </c>
      <c r="C19" s="40" t="s">
        <v>56</v>
      </c>
    </row>
    <row r="20" customFormat="false" ht="36" hidden="false" customHeight="true" outlineLevel="0" collapsed="false">
      <c r="B20" s="38" t="s">
        <v>57</v>
      </c>
      <c r="C20" s="40" t="s">
        <v>58</v>
      </c>
    </row>
    <row r="21" customFormat="false" ht="36" hidden="false" customHeight="true" outlineLevel="0" collapsed="false">
      <c r="B21" s="38" t="s">
        <v>59</v>
      </c>
      <c r="C21" s="39" t="s">
        <v>60</v>
      </c>
    </row>
    <row r="22" customFormat="false" ht="36" hidden="false" customHeight="true" outlineLevel="0" collapsed="false">
      <c r="B22" s="38" t="s">
        <v>61</v>
      </c>
      <c r="C22" s="39" t="s">
        <v>62</v>
      </c>
    </row>
    <row r="23" customFormat="false" ht="36" hidden="false" customHeight="true" outlineLevel="0" collapsed="false">
      <c r="B23" s="38" t="s">
        <v>63</v>
      </c>
      <c r="C23" s="39" t="s">
        <v>64</v>
      </c>
    </row>
    <row r="24" customFormat="false" ht="36" hidden="false" customHeight="true" outlineLevel="0" collapsed="false">
      <c r="B24" s="38" t="s">
        <v>65</v>
      </c>
      <c r="C24" s="40" t="s">
        <v>66</v>
      </c>
    </row>
    <row r="25" customFormat="false" ht="36" hidden="false" customHeight="true" outlineLevel="0" collapsed="false">
      <c r="B25" s="38" t="s">
        <v>67</v>
      </c>
      <c r="C25" s="39" t="s">
        <v>68</v>
      </c>
    </row>
  </sheetData>
  <mergeCells count="2">
    <mergeCell ref="B2:C2"/>
    <mergeCell ref="B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2026-06-30T15:04:15Z</dcterms:created>
  <dc:creator>openpyxl</dc:creator>
  <dc:description/>
  <dc:language>en-US</dc:language>
  <cp:lastModifiedBy/>
  <dcterms:modified xsi:type="dcterms:W3CDTF">2026-06-30T15:05:32Z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